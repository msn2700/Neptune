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ckup\Physics\Neptune Data\Core Data Sets\"/>
    </mc:Choice>
  </mc:AlternateContent>
  <xr:revisionPtr revIDLastSave="0" documentId="13_ncr:1_{0EF643B7-20B2-4FC3-BADF-6F4FC5FB0BA5}" xr6:coauthVersionLast="47" xr6:coauthVersionMax="47" xr10:uidLastSave="{00000000-0000-0000-0000-000000000000}"/>
  <bookViews>
    <workbookView xWindow="-120" yWindow="-120" windowWidth="29040" windowHeight="15720" xr2:uid="{133992CF-649A-4828-93BA-2DF91D774F4C}"/>
  </bookViews>
  <sheets>
    <sheet name="ReadMe" sheetId="1" r:id="rId1"/>
    <sheet name="FN_Distance" sheetId="2" r:id="rId2"/>
    <sheet name="FN_ConvertPDS" sheetId="3" r:id="rId3"/>
    <sheet name="FN_ConvertPDS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F29" i="1"/>
  <c r="G29" i="1"/>
  <c r="D29" i="1"/>
  <c r="C29" i="1"/>
</calcChain>
</file>

<file path=xl/sharedStrings.xml><?xml version="1.0" encoding="utf-8"?>
<sst xmlns="http://schemas.openxmlformats.org/spreadsheetml/2006/main" count="227" uniqueCount="159">
  <si>
    <t>LFM Inbound</t>
  </si>
  <si>
    <t>LFM Outbound</t>
  </si>
  <si>
    <t>Position</t>
  </si>
  <si>
    <t>1.92sec</t>
  </si>
  <si>
    <t>12sec</t>
  </si>
  <si>
    <t>Variable</t>
  </si>
  <si>
    <t>Coordinates</t>
  </si>
  <si>
    <t>Heliographic (HG)</t>
  </si>
  <si>
    <t>Neptune Longitudinal System (NLS)</t>
  </si>
  <si>
    <t>HFM Close Approach</t>
  </si>
  <si>
    <t>Yes</t>
  </si>
  <si>
    <t>No</t>
  </si>
  <si>
    <t>VG2-N-MAG-4-RDR-HGCOORDS-1.92SEC-V1.0</t>
  </si>
  <si>
    <t>VG2-N-MAG-4-SUMM-NLSCOORDS-12SEC-V1.0</t>
  </si>
  <si>
    <t>VG2-N-POS-5-SUMM-NLSCOORDS-12SEC-V1.0</t>
  </si>
  <si>
    <t>Magnetic data?</t>
  </si>
  <si>
    <t>PDS/PPI Home Page (ucla.edu)</t>
  </si>
  <si>
    <t>Start Distance (R_N)</t>
  </si>
  <si>
    <t>End Distance (R_N)</t>
  </si>
  <si>
    <t>Start Time (PDS)</t>
  </si>
  <si>
    <t>End Time (PDS)</t>
  </si>
  <si>
    <t>1989-08-26T08:19:48</t>
  </si>
  <si>
    <t>1989-08-24T18:00:00</t>
  </si>
  <si>
    <t>1989-08-24T23:40:12</t>
  </si>
  <si>
    <t>1989-08-25T08:10:29</t>
  </si>
  <si>
    <t>1989-08-22T00:00:47.663Z</t>
  </si>
  <si>
    <t>1989-08-26T00:00:45.399Z</t>
  </si>
  <si>
    <t>1989-08-29T23:59:58.771Z</t>
  </si>
  <si>
    <t>1989-08-26T00:00:47.217Z</t>
  </si>
  <si>
    <t>Closest Approach data?</t>
  </si>
  <si>
    <t>Category</t>
  </si>
  <si>
    <t>Data columns in unbolded black were in the original NASA data set</t>
  </si>
  <si>
    <t>Source data set name</t>
  </si>
  <si>
    <t>No, data gap</t>
  </si>
  <si>
    <t>No, not in range</t>
  </si>
  <si>
    <t>Magnetic field measurements have units of nanoTesla, lambda (longitude) /delta (latitude) have units of degrees</t>
  </si>
  <si>
    <t>Added zeroes for the LFM closest approach gap to have a continuous timeline in the records</t>
  </si>
  <si>
    <t>Data Cleaning Notes</t>
  </si>
  <si>
    <t>Erroneous magnetic field data indicated by a value of 999.999 in the original data has been replaced with zeroes</t>
  </si>
  <si>
    <t>Erroneous data indicated by 1.7*10^38 in the RMS error has been replaced with zeroes</t>
  </si>
  <si>
    <t>General link to original data</t>
  </si>
  <si>
    <t>Combined</t>
  </si>
  <si>
    <t>N/A</t>
  </si>
  <si>
    <t>Yes, interpolated</t>
  </si>
  <si>
    <t>197.3352 (Inbound)</t>
  </si>
  <si>
    <t>51.7291 (Outbound)</t>
  </si>
  <si>
    <t>51.7303 (Outbound)</t>
  </si>
  <si>
    <t>292.3851 (Outbound)</t>
  </si>
  <si>
    <t>12.000 (Inbound)</t>
  </si>
  <si>
    <t>11.974 (Outbound)</t>
  </si>
  <si>
    <t>26.4441 (Inbound)</t>
  </si>
  <si>
    <t>72.3201 (Outbound)</t>
  </si>
  <si>
    <t>Number of data points</t>
  </si>
  <si>
    <t>Filename</t>
  </si>
  <si>
    <t>Voyager2Magnetics_Combined.xlsm</t>
  </si>
  <si>
    <t>Voyager2Magnetics_Position.xlsm</t>
  </si>
  <si>
    <t>Voyager2Magnetics_HFM_CA.xlsm</t>
  </si>
  <si>
    <t>Voyager2Magnetics_LFM_Outbound.xlsm</t>
  </si>
  <si>
    <t>Voyager2Magnetics_LFM_Inbound.xlsm</t>
  </si>
  <si>
    <t>Frequency of data (time)</t>
  </si>
  <si>
    <t>No attempt has been to subtract out Voyager 2's own magnetic field from the measured field</t>
  </si>
  <si>
    <t>Combined Dataset Notes</t>
  </si>
  <si>
    <t>This is the author's best attempt to combine the LFM and HFM data sets in a way that makes sense</t>
  </si>
  <si>
    <t>Given that the two data sets use fundamentally different coordinate systems, only the magnetic vector magnitude is included</t>
  </si>
  <si>
    <t>Data columns that are in bold blue were generated by the author and did not originate in original NASA data sets</t>
  </si>
  <si>
    <t xml:space="preserve">  MAGNETOSHEATH_IN</t>
  </si>
  <si>
    <t xml:space="preserve">   MAGNETOPAUSE_IN</t>
  </si>
  <si>
    <t xml:space="preserve">    MAGNETOSPHERE_IN</t>
  </si>
  <si>
    <t xml:space="preserve">    MAGNETOSPHERE_OUT</t>
  </si>
  <si>
    <t xml:space="preserve">   MAGNETOPAUSE_OUT</t>
  </si>
  <si>
    <t xml:space="preserve">  MAGNETOSHEATH_OUT</t>
  </si>
  <si>
    <t xml:space="preserve"> BOWSHOCK_OUT</t>
  </si>
  <si>
    <t xml:space="preserve"> BOWSHOCK_IN</t>
  </si>
  <si>
    <t>INTERPLANETARY (Uranus to Neptune)</t>
  </si>
  <si>
    <t>OUTER_SYSTEM (Beyond Neptune)</t>
  </si>
  <si>
    <t>Public Function NeptuneRange(t As Double)</t>
  </si>
  <si>
    <t>Dim R_N As Double</t>
  </si>
  <si>
    <t>'Set default value to indicate a problem</t>
  </si>
  <si>
    <t>R_N = -1</t>
  </si>
  <si>
    <t>'For positions inbound, R &gt; 2R_N (Quadratic)</t>
  </si>
  <si>
    <t>'t &lt;= 2447763.68472222</t>
  </si>
  <si>
    <t>If t &lt;= 2447763.68472222 Then</t>
  </si>
  <si>
    <t xml:space="preserve">    R_N = CDbl(-1.26859669999894E-05) * t ^ 2 + CDbl(76008567.818401)</t>
  </si>
  <si>
    <t>End If</t>
  </si>
  <si>
    <t>'For positions outbound, R &gt; 2R_N (Quadratic)</t>
  </si>
  <si>
    <t>'t &gt;= 2447763.64263889</t>
  </si>
  <si>
    <t>If t &gt;= 2447763.64263889 Then</t>
  </si>
  <si>
    <t xml:space="preserve">    R_N = CDbl(1.22912342930339E-05) * t ^ 2 + CDbl(-73643506.005601)</t>
  </si>
  <si>
    <t>'For CA inbound and outbound, R &lt; 2R_N (Hyperbolic)</t>
  </si>
  <si>
    <t>'2447763.64263889 &lt; t &lt; 2447763.68472222</t>
  </si>
  <si>
    <t>If 2447763.64263889 &lt; t And t &lt; 2447763.68472222 Then</t>
  </si>
  <si>
    <t xml:space="preserve">    R_N = 1.1808 * (1 + ((t - CDbl(2447763.66361111)) ^ 2) / (1.51125088480213E-02 ^ 2)) ^ 0.5</t>
  </si>
  <si>
    <t>NeptuneRange = R_N</t>
  </si>
  <si>
    <t>End Function</t>
  </si>
  <si>
    <t>VBA Function used to prepare / generate necessary data</t>
  </si>
  <si>
    <t>Public Function ConvertPDS(pdsString As String)</t>
  </si>
  <si>
    <t>Dim timeString As String, dateString As String, timePieces() As String, returnDate As Double</t>
  </si>
  <si>
    <t>Dim hourNum As Integer, minNum As Integer, secNum As Integer</t>
  </si>
  <si>
    <t>Dim dayNum As Integer, monthNum As Integer, yearNum As Integer</t>
  </si>
  <si>
    <t>Dim hourString As String, minString As String, secString As String</t>
  </si>
  <si>
    <t>Dim jSec As Double, jMin As Double, jHour As Double, datePieces() As String</t>
  </si>
  <si>
    <t>'This converts the PDS date/time stamp into Julian Day date/time stamp</t>
  </si>
  <si>
    <t>'INPUT:  1989-08-23T06:19:00</t>
  </si>
  <si>
    <t>'OUTPUT: 2447761.76319444</t>
  </si>
  <si>
    <t>'Note that 1989-08-23T00:00:00 would be 2447761.50000000</t>
  </si>
  <si>
    <t>'Note that 1989-08-22T00:00:00 would be 2447760.50000000</t>
  </si>
  <si>
    <t>returnDate = 2447760.5</t>
  </si>
  <si>
    <t>'NOTE: The inString format must be like 1989-08-24T23:40:12</t>
  </si>
  <si>
    <t>'1 second = this many Julian days...</t>
  </si>
  <si>
    <t>jSec = 0.00001157407407</t>
  </si>
  <si>
    <t>jMin = 60 * jSec</t>
  </si>
  <si>
    <t>jHour = 60 * jMin</t>
  </si>
  <si>
    <t>'First get the date and time portions</t>
  </si>
  <si>
    <t>dateString = Left(pdsString, 10)</t>
  </si>
  <si>
    <t>timeString = Right(pdsString, Len(pdsString) - 11)</t>
  </si>
  <si>
    <t>'----GET DATE COMPONENTS----</t>
  </si>
  <si>
    <t>'Now split the date string into pieces based on - symbol</t>
  </si>
  <si>
    <t>'Index = 1,2,3 is year, month, day in that order</t>
  </si>
  <si>
    <t>datePieces = Split(dateString, "-")</t>
  </si>
  <si>
    <t>'Need to convert the time values to numbers</t>
  </si>
  <si>
    <t>'Note that all dates input will have the same year and month: August 1989</t>
  </si>
  <si>
    <t>'but could have a different day</t>
  </si>
  <si>
    <t>yearNum = CInt(datePieces(0))</t>
  </si>
  <si>
    <t>monthNum = CInt(datePieces(1))</t>
  </si>
  <si>
    <t>dayNum = CInt(datePieces(2))</t>
  </si>
  <si>
    <t>'----GET TIME COMPONENTS----</t>
  </si>
  <si>
    <t>'Now split the time string into pieces based on : symbol</t>
  </si>
  <si>
    <t>'Index = 1,2,3 is hour, minute, second in that order</t>
  </si>
  <si>
    <t>timePieces = Split(timeString, ":")</t>
  </si>
  <si>
    <t>hourNum = CInt(timePieces(0))</t>
  </si>
  <si>
    <t>minNum = CInt(timePieces(1))</t>
  </si>
  <si>
    <t>secNum = CInt(timePieces(2))</t>
  </si>
  <si>
    <t>'If the day is ahead of the 23rd, add to the total</t>
  </si>
  <si>
    <t>If dayNum &gt; 22 Then</t>
  </si>
  <si>
    <t xml:space="preserve">    returnDate = returnDate + (dayNum - 22)</t>
  </si>
  <si>
    <t>Else</t>
  </si>
  <si>
    <t xml:space="preserve">    'Do nothing</t>
  </si>
  <si>
    <t>'Now that we've handled the day, add in hours, mins and seconds elapsed</t>
  </si>
  <si>
    <t>returnDate = returnDate + hourNum * jHour + minNum * jMin + secNum * jSec</t>
  </si>
  <si>
    <t>'Return the result</t>
  </si>
  <si>
    <t>ConvertPDS = returnDate</t>
  </si>
  <si>
    <t>Public Function ConvertPDS2(pdsString As String)</t>
  </si>
  <si>
    <t>Dim hourNum As Integer, minNum As Integer, secNum As Double</t>
  </si>
  <si>
    <t>'NOTE: The inString format must be like 1989-08-22T00:00:47.663Z</t>
  </si>
  <si>
    <t>'First, strip off the Z at the end of the string</t>
  </si>
  <si>
    <t>pdsString = Left(pdsString, Len(pdsString) - 1)</t>
  </si>
  <si>
    <t>secNum = CDbl(timePieces(2))</t>
  </si>
  <si>
    <t>ConvertPDS2 = returnDate</t>
  </si>
  <si>
    <t>See tabs in this file with FN_ for the VBA functions used to generate some time / distance data</t>
  </si>
  <si>
    <t>Data Points by Region in each file</t>
  </si>
  <si>
    <t>Yes, vector + error</t>
  </si>
  <si>
    <t>Yes, vector</t>
  </si>
  <si>
    <t>Yes, magnitude</t>
  </si>
  <si>
    <t xml:space="preserve">     CLOSEST_APPROACH*</t>
  </si>
  <si>
    <t>* Note that Closest Approach is defined as the single data point having the least distance (center to center) between V2 and Neptune</t>
  </si>
  <si>
    <t>178700 total, 137425 w/ data</t>
  </si>
  <si>
    <t>Note that the two LFM files can be merged to provide a continuous timeline but with data gaps</t>
  </si>
  <si>
    <t>TOTAL Records with magnetic data</t>
  </si>
  <si>
    <t>Combined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</si>
</sst>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5" fillId="0" borderId="0" xfId="0" applyFont="1"/>
    <xf numFmtId="0" fontId="1" fillId="0" borderId="0" xfId="0" applyFont="1" applyAlignment="1">
      <alignment horizontal="right"/>
    </xf>
    <xf numFmtId="3" fontId="0" fillId="2" borderId="0" xfId="0" applyNumberFormat="1" applyFill="1" applyAlignment="1">
      <alignment horizontal="right"/>
    </xf>
    <xf numFmtId="3" fontId="0" fillId="0" borderId="0" xfId="0" applyNumberFormat="1" applyAlignment="1">
      <alignment horizontal="right"/>
    </xf>
    <xf numFmtId="3" fontId="1" fillId="0" borderId="0" xfId="0" applyNumberFormat="1" applyFont="1" applyAlignment="1">
      <alignment horizontal="right"/>
    </xf>
    <xf numFmtId="0" fontId="6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ds-ppi.igpp.ucla.edu/mission/Voyager_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6F0D-BAFC-400A-9039-70D6E20A118D}">
  <sheetPr codeName="Sheet1"/>
  <dimension ref="B2:G48"/>
  <sheetViews>
    <sheetView tabSelected="1" workbookViewId="0">
      <selection activeCell="B31" sqref="B31"/>
    </sheetView>
  </sheetViews>
  <sheetFormatPr defaultRowHeight="15" x14ac:dyDescent="0.25"/>
  <cols>
    <col min="1" max="1" width="4.7109375" customWidth="1"/>
    <col min="2" max="2" width="36.5703125" customWidth="1"/>
    <col min="3" max="3" width="25.7109375" customWidth="1"/>
    <col min="4" max="4" width="24.5703125" customWidth="1"/>
    <col min="5" max="5" width="21.5703125" customWidth="1"/>
    <col min="6" max="6" width="21.42578125" customWidth="1"/>
    <col min="7" max="7" width="25.85546875" customWidth="1"/>
  </cols>
  <sheetData>
    <row r="2" spans="2:7" x14ac:dyDescent="0.25">
      <c r="B2" s="5" t="s">
        <v>30</v>
      </c>
      <c r="C2" s="5" t="s">
        <v>0</v>
      </c>
      <c r="D2" s="5" t="s">
        <v>1</v>
      </c>
      <c r="E2" s="5" t="s">
        <v>9</v>
      </c>
      <c r="F2" s="5" t="s">
        <v>2</v>
      </c>
      <c r="G2" s="5" t="s">
        <v>41</v>
      </c>
    </row>
    <row r="3" spans="2:7" x14ac:dyDescent="0.25">
      <c r="B3" t="s">
        <v>53</v>
      </c>
      <c r="C3" t="s">
        <v>58</v>
      </c>
      <c r="D3" t="s">
        <v>57</v>
      </c>
      <c r="E3" t="s">
        <v>56</v>
      </c>
      <c r="F3" t="s">
        <v>55</v>
      </c>
      <c r="G3" t="s">
        <v>54</v>
      </c>
    </row>
    <row r="4" spans="2:7" x14ac:dyDescent="0.25">
      <c r="B4" t="s">
        <v>59</v>
      </c>
      <c r="C4" t="s">
        <v>3</v>
      </c>
      <c r="D4" t="s">
        <v>3</v>
      </c>
      <c r="E4" t="s">
        <v>5</v>
      </c>
      <c r="F4" t="s">
        <v>4</v>
      </c>
      <c r="G4" t="s">
        <v>3</v>
      </c>
    </row>
    <row r="5" spans="2:7" x14ac:dyDescent="0.25">
      <c r="B5" t="s">
        <v>6</v>
      </c>
      <c r="C5" t="s">
        <v>7</v>
      </c>
      <c r="D5" t="s">
        <v>7</v>
      </c>
      <c r="E5" t="s">
        <v>8</v>
      </c>
      <c r="F5" t="s">
        <v>8</v>
      </c>
      <c r="G5" t="s">
        <v>42</v>
      </c>
    </row>
    <row r="6" spans="2:7" x14ac:dyDescent="0.25">
      <c r="B6" t="s">
        <v>15</v>
      </c>
      <c r="C6" t="s">
        <v>150</v>
      </c>
      <c r="D6" t="s">
        <v>150</v>
      </c>
      <c r="E6" t="s">
        <v>151</v>
      </c>
      <c r="F6" t="s">
        <v>11</v>
      </c>
      <c r="G6" t="s">
        <v>152</v>
      </c>
    </row>
    <row r="7" spans="2:7" x14ac:dyDescent="0.25">
      <c r="B7" t="s">
        <v>32</v>
      </c>
      <c r="C7" t="s">
        <v>12</v>
      </c>
      <c r="D7" t="s">
        <v>12</v>
      </c>
      <c r="E7" t="s">
        <v>13</v>
      </c>
      <c r="F7" t="s">
        <v>14</v>
      </c>
      <c r="G7" t="s">
        <v>42</v>
      </c>
    </row>
    <row r="8" spans="2:7" x14ac:dyDescent="0.25">
      <c r="B8" t="s">
        <v>40</v>
      </c>
      <c r="C8" s="1" t="s">
        <v>16</v>
      </c>
      <c r="G8" t="s">
        <v>42</v>
      </c>
    </row>
    <row r="9" spans="2:7" x14ac:dyDescent="0.25">
      <c r="B9" t="s">
        <v>19</v>
      </c>
      <c r="C9" t="s">
        <v>25</v>
      </c>
      <c r="D9" t="s">
        <v>28</v>
      </c>
      <c r="E9" s="4" t="s">
        <v>23</v>
      </c>
      <c r="F9" t="s">
        <v>22</v>
      </c>
      <c r="G9" t="s">
        <v>25</v>
      </c>
    </row>
    <row r="10" spans="2:7" x14ac:dyDescent="0.25">
      <c r="B10" t="s">
        <v>20</v>
      </c>
      <c r="C10" t="s">
        <v>26</v>
      </c>
      <c r="D10" t="s">
        <v>27</v>
      </c>
      <c r="E10" s="4" t="s">
        <v>24</v>
      </c>
      <c r="F10" t="s">
        <v>21</v>
      </c>
      <c r="G10" t="s">
        <v>27</v>
      </c>
    </row>
    <row r="11" spans="2:7" x14ac:dyDescent="0.25">
      <c r="B11" t="s">
        <v>17</v>
      </c>
      <c r="C11" s="4" t="s">
        <v>44</v>
      </c>
      <c r="D11" s="4" t="s">
        <v>46</v>
      </c>
      <c r="E11" s="3" t="s">
        <v>48</v>
      </c>
      <c r="F11" s="2" t="s">
        <v>50</v>
      </c>
      <c r="G11" s="4" t="s">
        <v>44</v>
      </c>
    </row>
    <row r="12" spans="2:7" x14ac:dyDescent="0.25">
      <c r="B12" t="s">
        <v>18</v>
      </c>
      <c r="C12" s="4" t="s">
        <v>45</v>
      </c>
      <c r="D12" s="4" t="s">
        <v>47</v>
      </c>
      <c r="E12" s="3" t="s">
        <v>49</v>
      </c>
      <c r="F12" s="2" t="s">
        <v>51</v>
      </c>
      <c r="G12" s="4" t="s">
        <v>47</v>
      </c>
    </row>
    <row r="13" spans="2:7" x14ac:dyDescent="0.25">
      <c r="B13" t="s">
        <v>29</v>
      </c>
      <c r="C13" t="s">
        <v>33</v>
      </c>
      <c r="D13" t="s">
        <v>34</v>
      </c>
      <c r="E13" t="s">
        <v>10</v>
      </c>
      <c r="F13" t="s">
        <v>10</v>
      </c>
      <c r="G13" t="s">
        <v>43</v>
      </c>
    </row>
    <row r="14" spans="2:7" x14ac:dyDescent="0.25">
      <c r="B14" t="s">
        <v>52</v>
      </c>
      <c r="C14" s="7" t="s">
        <v>155</v>
      </c>
      <c r="D14" s="7">
        <v>179176</v>
      </c>
      <c r="E14" s="7">
        <v>731</v>
      </c>
      <c r="F14" s="7">
        <v>11291</v>
      </c>
      <c r="G14" s="7">
        <v>357876</v>
      </c>
    </row>
    <row r="17" spans="2:7" x14ac:dyDescent="0.25">
      <c r="B17" s="5" t="s">
        <v>149</v>
      </c>
      <c r="C17" s="5" t="s">
        <v>0</v>
      </c>
      <c r="D17" s="5" t="s">
        <v>1</v>
      </c>
      <c r="E17" s="5" t="s">
        <v>9</v>
      </c>
      <c r="F17" s="5" t="s">
        <v>2</v>
      </c>
      <c r="G17" s="5" t="s">
        <v>158</v>
      </c>
    </row>
    <row r="18" spans="2:7" x14ac:dyDescent="0.25">
      <c r="B18" s="7" t="s">
        <v>73</v>
      </c>
      <c r="C18" s="10">
        <v>116463</v>
      </c>
      <c r="D18" s="11">
        <v>0</v>
      </c>
      <c r="E18" s="11">
        <v>0</v>
      </c>
      <c r="F18" s="11">
        <v>0</v>
      </c>
      <c r="G18" s="10">
        <v>116463</v>
      </c>
    </row>
    <row r="19" spans="2:7" x14ac:dyDescent="0.25">
      <c r="B19" s="7" t="s">
        <v>72</v>
      </c>
      <c r="C19" s="10">
        <v>32</v>
      </c>
      <c r="D19" s="11">
        <v>0</v>
      </c>
      <c r="E19" s="11">
        <v>0</v>
      </c>
      <c r="F19" s="11">
        <v>0</v>
      </c>
      <c r="G19" s="10">
        <v>32</v>
      </c>
    </row>
    <row r="20" spans="2:7" x14ac:dyDescent="0.25">
      <c r="B20" s="7" t="s">
        <v>65</v>
      </c>
      <c r="C20" s="10">
        <v>6131</v>
      </c>
      <c r="D20" s="11">
        <v>0</v>
      </c>
      <c r="E20" s="11">
        <v>0</v>
      </c>
      <c r="F20" s="11">
        <v>0</v>
      </c>
      <c r="G20" s="10">
        <v>6131</v>
      </c>
    </row>
    <row r="21" spans="2:7" x14ac:dyDescent="0.25">
      <c r="B21" s="7" t="s">
        <v>66</v>
      </c>
      <c r="C21" s="10">
        <v>2969</v>
      </c>
      <c r="D21" s="11">
        <v>0</v>
      </c>
      <c r="E21" s="11">
        <v>0</v>
      </c>
      <c r="F21" s="10">
        <v>480</v>
      </c>
      <c r="G21" s="10">
        <v>2969</v>
      </c>
    </row>
    <row r="22" spans="2:7" x14ac:dyDescent="0.25">
      <c r="B22" s="7" t="s">
        <v>67</v>
      </c>
      <c r="C22" s="10">
        <v>11830</v>
      </c>
      <c r="D22" s="11">
        <v>0</v>
      </c>
      <c r="E22" s="10">
        <v>366</v>
      </c>
      <c r="F22" s="10">
        <v>2385</v>
      </c>
      <c r="G22" s="10">
        <v>15443</v>
      </c>
    </row>
    <row r="23" spans="2:7" x14ac:dyDescent="0.25">
      <c r="B23" s="7" t="s">
        <v>153</v>
      </c>
      <c r="C23" s="11">
        <v>0</v>
      </c>
      <c r="D23" s="11">
        <v>0</v>
      </c>
      <c r="E23" s="10">
        <v>1</v>
      </c>
      <c r="F23" s="10">
        <v>1</v>
      </c>
      <c r="G23" s="10">
        <v>1</v>
      </c>
    </row>
    <row r="24" spans="2:7" x14ac:dyDescent="0.25">
      <c r="B24" s="7" t="s">
        <v>68</v>
      </c>
      <c r="C24" s="11">
        <v>0</v>
      </c>
      <c r="D24" s="10">
        <v>15545</v>
      </c>
      <c r="E24" s="10">
        <v>364</v>
      </c>
      <c r="F24" s="10">
        <v>8420</v>
      </c>
      <c r="G24" s="10">
        <v>53206</v>
      </c>
    </row>
    <row r="25" spans="2:7" x14ac:dyDescent="0.25">
      <c r="B25" s="7" t="s">
        <v>69</v>
      </c>
      <c r="C25" s="11">
        <v>0</v>
      </c>
      <c r="D25" s="10">
        <v>31</v>
      </c>
      <c r="E25" s="11">
        <v>0</v>
      </c>
      <c r="F25" s="10">
        <v>5</v>
      </c>
      <c r="G25" s="10">
        <v>31</v>
      </c>
    </row>
    <row r="26" spans="2:7" x14ac:dyDescent="0.25">
      <c r="B26" s="7" t="s">
        <v>70</v>
      </c>
      <c r="C26" s="11">
        <v>0</v>
      </c>
      <c r="D26" s="10">
        <v>66575</v>
      </c>
      <c r="E26" s="11">
        <v>0</v>
      </c>
      <c r="F26" s="11">
        <v>0</v>
      </c>
      <c r="G26" s="10">
        <v>66575</v>
      </c>
    </row>
    <row r="27" spans="2:7" x14ac:dyDescent="0.25">
      <c r="B27" s="7" t="s">
        <v>71</v>
      </c>
      <c r="C27" s="11">
        <v>0</v>
      </c>
      <c r="D27" s="10">
        <v>1826</v>
      </c>
      <c r="E27" s="11">
        <v>0</v>
      </c>
      <c r="F27" s="11">
        <v>0</v>
      </c>
      <c r="G27" s="10">
        <v>1826</v>
      </c>
    </row>
    <row r="28" spans="2:7" x14ac:dyDescent="0.25">
      <c r="B28" s="7" t="s">
        <v>74</v>
      </c>
      <c r="C28" s="11">
        <v>0</v>
      </c>
      <c r="D28" s="10">
        <v>95199</v>
      </c>
      <c r="E28" s="11">
        <v>0</v>
      </c>
      <c r="F28" s="11">
        <v>0</v>
      </c>
      <c r="G28" s="10">
        <v>95199</v>
      </c>
    </row>
    <row r="29" spans="2:7" x14ac:dyDescent="0.25">
      <c r="B29" s="9" t="s">
        <v>157</v>
      </c>
      <c r="C29" s="12">
        <f>SUM(C18:C28)</f>
        <v>137425</v>
      </c>
      <c r="D29" s="12">
        <f>SUM(D18:D28)</f>
        <v>179176</v>
      </c>
      <c r="E29" s="12">
        <f t="shared" ref="E29:G29" si="0">SUM(E18:E28)</f>
        <v>731</v>
      </c>
      <c r="F29" s="12">
        <f t="shared" si="0"/>
        <v>11291</v>
      </c>
      <c r="G29" s="12">
        <f t="shared" si="0"/>
        <v>357876</v>
      </c>
    </row>
    <row r="31" spans="2:7" x14ac:dyDescent="0.25">
      <c r="B31" s="13" t="s">
        <v>154</v>
      </c>
    </row>
    <row r="34" spans="2:2" x14ac:dyDescent="0.25">
      <c r="B34" s="5" t="s">
        <v>37</v>
      </c>
    </row>
    <row r="35" spans="2:2" x14ac:dyDescent="0.25">
      <c r="B35" t="s">
        <v>35</v>
      </c>
    </row>
    <row r="36" spans="2:2" x14ac:dyDescent="0.25">
      <c r="B36" t="s">
        <v>36</v>
      </c>
    </row>
    <row r="37" spans="2:2" x14ac:dyDescent="0.25">
      <c r="B37" t="s">
        <v>38</v>
      </c>
    </row>
    <row r="38" spans="2:2" x14ac:dyDescent="0.25">
      <c r="B38" t="s">
        <v>39</v>
      </c>
    </row>
    <row r="39" spans="2:2" x14ac:dyDescent="0.25">
      <c r="B39" t="s">
        <v>60</v>
      </c>
    </row>
    <row r="41" spans="2:2" x14ac:dyDescent="0.25">
      <c r="B41" s="5" t="s">
        <v>61</v>
      </c>
    </row>
    <row r="42" spans="2:2" x14ac:dyDescent="0.25">
      <c r="B42" t="s">
        <v>62</v>
      </c>
    </row>
    <row r="43" spans="2:2" x14ac:dyDescent="0.25">
      <c r="B43" t="s">
        <v>63</v>
      </c>
    </row>
    <row r="44" spans="2:2" x14ac:dyDescent="0.25">
      <c r="B44" t="s">
        <v>156</v>
      </c>
    </row>
    <row r="46" spans="2:2" x14ac:dyDescent="0.25">
      <c r="B46" s="6" t="s">
        <v>64</v>
      </c>
    </row>
    <row r="47" spans="2:2" x14ac:dyDescent="0.25">
      <c r="B47" t="s">
        <v>31</v>
      </c>
    </row>
    <row r="48" spans="2:2" x14ac:dyDescent="0.25">
      <c r="B48" t="s">
        <v>148</v>
      </c>
    </row>
  </sheetData>
  <hyperlinks>
    <hyperlink ref="C8" r:id="rId1" display="https://pds-ppi.igpp.ucla.edu/mission/Voyager_2" xr:uid="{3C6D2731-47EA-41B1-BBCF-EBE934A607AE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8F0D3-4255-48A5-96F6-8D52D48E9EAE}">
  <sheetPr codeName="Sheet2"/>
  <dimension ref="A1:A30"/>
  <sheetViews>
    <sheetView workbookViewId="0"/>
  </sheetViews>
  <sheetFormatPr defaultRowHeight="15" x14ac:dyDescent="0.25"/>
  <sheetData>
    <row r="1" spans="1:1" x14ac:dyDescent="0.25">
      <c r="A1" s="8" t="s">
        <v>94</v>
      </c>
    </row>
    <row r="3" spans="1:1" x14ac:dyDescent="0.25">
      <c r="A3" t="s">
        <v>75</v>
      </c>
    </row>
    <row r="5" spans="1:1" x14ac:dyDescent="0.25">
      <c r="A5" t="s">
        <v>76</v>
      </c>
    </row>
    <row r="7" spans="1:1" x14ac:dyDescent="0.25">
      <c r="A7" t="s">
        <v>77</v>
      </c>
    </row>
    <row r="8" spans="1:1" x14ac:dyDescent="0.25">
      <c r="A8" t="s">
        <v>78</v>
      </c>
    </row>
    <row r="10" spans="1:1" x14ac:dyDescent="0.25">
      <c r="A10" t="s">
        <v>79</v>
      </c>
    </row>
    <row r="11" spans="1:1" x14ac:dyDescent="0.25">
      <c r="A11" t="s">
        <v>80</v>
      </c>
    </row>
    <row r="12" spans="1:1" x14ac:dyDescent="0.25">
      <c r="A12" t="s">
        <v>81</v>
      </c>
    </row>
    <row r="13" spans="1:1" x14ac:dyDescent="0.25">
      <c r="A13" t="s">
        <v>82</v>
      </c>
    </row>
    <row r="14" spans="1:1" x14ac:dyDescent="0.25">
      <c r="A14" t="s">
        <v>83</v>
      </c>
    </row>
    <row r="16" spans="1:1" x14ac:dyDescent="0.25">
      <c r="A16" t="s">
        <v>84</v>
      </c>
    </row>
    <row r="17" spans="1:1" x14ac:dyDescent="0.25">
      <c r="A17" t="s">
        <v>85</v>
      </c>
    </row>
    <row r="18" spans="1:1" x14ac:dyDescent="0.25">
      <c r="A18" t="s">
        <v>86</v>
      </c>
    </row>
    <row r="19" spans="1:1" x14ac:dyDescent="0.25">
      <c r="A19" t="s">
        <v>87</v>
      </c>
    </row>
    <row r="20" spans="1:1" x14ac:dyDescent="0.25">
      <c r="A20" t="s">
        <v>83</v>
      </c>
    </row>
    <row r="22" spans="1:1" x14ac:dyDescent="0.25">
      <c r="A22" t="s">
        <v>88</v>
      </c>
    </row>
    <row r="23" spans="1:1" x14ac:dyDescent="0.25">
      <c r="A23" t="s">
        <v>89</v>
      </c>
    </row>
    <row r="24" spans="1:1" x14ac:dyDescent="0.25">
      <c r="A24" t="s">
        <v>90</v>
      </c>
    </row>
    <row r="25" spans="1:1" x14ac:dyDescent="0.25">
      <c r="A25" t="s">
        <v>91</v>
      </c>
    </row>
    <row r="26" spans="1:1" x14ac:dyDescent="0.25">
      <c r="A26" t="s">
        <v>83</v>
      </c>
    </row>
    <row r="28" spans="1:1" x14ac:dyDescent="0.25">
      <c r="A28" t="s">
        <v>92</v>
      </c>
    </row>
    <row r="30" spans="1:1" x14ac:dyDescent="0.25">
      <c r="A30" t="s">
        <v>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957E2-AE7D-4BFA-982A-0DCCB45E7036}">
  <dimension ref="A1:A68"/>
  <sheetViews>
    <sheetView workbookViewId="0"/>
  </sheetViews>
  <sheetFormatPr defaultRowHeight="15" x14ac:dyDescent="0.25"/>
  <sheetData>
    <row r="1" spans="1:1" x14ac:dyDescent="0.25">
      <c r="A1" s="8" t="s">
        <v>94</v>
      </c>
    </row>
    <row r="3" spans="1:1" x14ac:dyDescent="0.25">
      <c r="A3" t="s">
        <v>95</v>
      </c>
    </row>
    <row r="5" spans="1:1" x14ac:dyDescent="0.25">
      <c r="A5" t="s">
        <v>96</v>
      </c>
    </row>
    <row r="6" spans="1:1" x14ac:dyDescent="0.25">
      <c r="A6" t="s">
        <v>97</v>
      </c>
    </row>
    <row r="7" spans="1:1" x14ac:dyDescent="0.25">
      <c r="A7" t="s">
        <v>98</v>
      </c>
    </row>
    <row r="8" spans="1:1" x14ac:dyDescent="0.25">
      <c r="A8" t="s">
        <v>99</v>
      </c>
    </row>
    <row r="9" spans="1:1" x14ac:dyDescent="0.25">
      <c r="A9" t="s">
        <v>100</v>
      </c>
    </row>
    <row r="11" spans="1:1" x14ac:dyDescent="0.25">
      <c r="A11" t="s">
        <v>101</v>
      </c>
    </row>
    <row r="12" spans="1:1" x14ac:dyDescent="0.25">
      <c r="A12" t="s">
        <v>102</v>
      </c>
    </row>
    <row r="13" spans="1:1" x14ac:dyDescent="0.25">
      <c r="A13" t="s">
        <v>103</v>
      </c>
    </row>
    <row r="15" spans="1:1" x14ac:dyDescent="0.25">
      <c r="A15" t="s">
        <v>104</v>
      </c>
    </row>
    <row r="16" spans="1:1" x14ac:dyDescent="0.25">
      <c r="A16" t="s">
        <v>105</v>
      </c>
    </row>
    <row r="17" spans="1:1" x14ac:dyDescent="0.25">
      <c r="A17" t="s">
        <v>106</v>
      </c>
    </row>
    <row r="19" spans="1:1" x14ac:dyDescent="0.25">
      <c r="A19" t="s">
        <v>107</v>
      </c>
    </row>
    <row r="21" spans="1:1" x14ac:dyDescent="0.25">
      <c r="A21" t="s">
        <v>108</v>
      </c>
    </row>
    <row r="22" spans="1:1" x14ac:dyDescent="0.25">
      <c r="A22" t="s">
        <v>109</v>
      </c>
    </row>
    <row r="23" spans="1:1" x14ac:dyDescent="0.25">
      <c r="A23" t="s">
        <v>110</v>
      </c>
    </row>
    <row r="24" spans="1:1" x14ac:dyDescent="0.25">
      <c r="A24" t="s">
        <v>111</v>
      </c>
    </row>
    <row r="26" spans="1:1" x14ac:dyDescent="0.25">
      <c r="A26" t="s">
        <v>112</v>
      </c>
    </row>
    <row r="27" spans="1:1" x14ac:dyDescent="0.25">
      <c r="A27" t="s">
        <v>113</v>
      </c>
    </row>
    <row r="28" spans="1:1" x14ac:dyDescent="0.25">
      <c r="A28" t="s">
        <v>114</v>
      </c>
    </row>
    <row r="30" spans="1:1" x14ac:dyDescent="0.25">
      <c r="A30" t="s">
        <v>115</v>
      </c>
    </row>
    <row r="32" spans="1:1" x14ac:dyDescent="0.25">
      <c r="A32" t="s">
        <v>116</v>
      </c>
    </row>
    <row r="33" spans="1:1" x14ac:dyDescent="0.25">
      <c r="A33" t="s">
        <v>117</v>
      </c>
    </row>
    <row r="34" spans="1:1" x14ac:dyDescent="0.25">
      <c r="A34" t="s">
        <v>118</v>
      </c>
    </row>
    <row r="36" spans="1:1" x14ac:dyDescent="0.25">
      <c r="A36" t="s">
        <v>119</v>
      </c>
    </row>
    <row r="37" spans="1:1" x14ac:dyDescent="0.25">
      <c r="A37" t="s">
        <v>120</v>
      </c>
    </row>
    <row r="38" spans="1:1" x14ac:dyDescent="0.25">
      <c r="A38" t="s">
        <v>121</v>
      </c>
    </row>
    <row r="39" spans="1:1" x14ac:dyDescent="0.25">
      <c r="A39" t="s">
        <v>122</v>
      </c>
    </row>
    <row r="40" spans="1:1" x14ac:dyDescent="0.25">
      <c r="A40" t="s">
        <v>123</v>
      </c>
    </row>
    <row r="41" spans="1:1" x14ac:dyDescent="0.25">
      <c r="A41" t="s">
        <v>124</v>
      </c>
    </row>
    <row r="43" spans="1:1" x14ac:dyDescent="0.25">
      <c r="A43" t="s">
        <v>125</v>
      </c>
    </row>
    <row r="45" spans="1:1" x14ac:dyDescent="0.25">
      <c r="A45" t="s">
        <v>126</v>
      </c>
    </row>
    <row r="46" spans="1:1" x14ac:dyDescent="0.25">
      <c r="A46" t="s">
        <v>127</v>
      </c>
    </row>
    <row r="47" spans="1:1" x14ac:dyDescent="0.25">
      <c r="A47" t="s">
        <v>128</v>
      </c>
    </row>
    <row r="49" spans="1:1" x14ac:dyDescent="0.25">
      <c r="A49" t="s">
        <v>119</v>
      </c>
    </row>
    <row r="50" spans="1:1" x14ac:dyDescent="0.25">
      <c r="A50" t="s">
        <v>129</v>
      </c>
    </row>
    <row r="51" spans="1:1" x14ac:dyDescent="0.25">
      <c r="A51" t="s">
        <v>130</v>
      </c>
    </row>
    <row r="52" spans="1:1" x14ac:dyDescent="0.25">
      <c r="A52" t="s">
        <v>131</v>
      </c>
    </row>
    <row r="54" spans="1:1" x14ac:dyDescent="0.25">
      <c r="A54" t="s">
        <v>132</v>
      </c>
    </row>
    <row r="55" spans="1:1" x14ac:dyDescent="0.25">
      <c r="A55" t="s">
        <v>133</v>
      </c>
    </row>
    <row r="56" spans="1:1" x14ac:dyDescent="0.25">
      <c r="A56" t="s">
        <v>134</v>
      </c>
    </row>
    <row r="57" spans="1:1" x14ac:dyDescent="0.25">
      <c r="A57" t="s">
        <v>135</v>
      </c>
    </row>
    <row r="58" spans="1:1" x14ac:dyDescent="0.25">
      <c r="A58" t="s">
        <v>136</v>
      </c>
    </row>
    <row r="59" spans="1:1" x14ac:dyDescent="0.25">
      <c r="A59" t="s">
        <v>83</v>
      </c>
    </row>
    <row r="61" spans="1:1" x14ac:dyDescent="0.25">
      <c r="A61" t="s">
        <v>137</v>
      </c>
    </row>
    <row r="62" spans="1:1" x14ac:dyDescent="0.25">
      <c r="A62" t="s">
        <v>138</v>
      </c>
    </row>
    <row r="64" spans="1:1" x14ac:dyDescent="0.25">
      <c r="A64" t="s">
        <v>139</v>
      </c>
    </row>
    <row r="65" spans="1:1" x14ac:dyDescent="0.25">
      <c r="A65" t="s">
        <v>140</v>
      </c>
    </row>
    <row r="68" spans="1:1" x14ac:dyDescent="0.25">
      <c r="A68" t="s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4ED4B-61F2-4C43-A7DF-F115A154D9E7}">
  <dimension ref="A1:A71"/>
  <sheetViews>
    <sheetView workbookViewId="0">
      <selection activeCell="H4" sqref="H4"/>
    </sheetView>
  </sheetViews>
  <sheetFormatPr defaultRowHeight="15" x14ac:dyDescent="0.25"/>
  <sheetData>
    <row r="1" spans="1:1" x14ac:dyDescent="0.25">
      <c r="A1" s="8" t="s">
        <v>94</v>
      </c>
    </row>
    <row r="3" spans="1:1" x14ac:dyDescent="0.25">
      <c r="A3" t="s">
        <v>141</v>
      </c>
    </row>
    <row r="5" spans="1:1" x14ac:dyDescent="0.25">
      <c r="A5" t="s">
        <v>96</v>
      </c>
    </row>
    <row r="6" spans="1:1" x14ac:dyDescent="0.25">
      <c r="A6" t="s">
        <v>142</v>
      </c>
    </row>
    <row r="7" spans="1:1" x14ac:dyDescent="0.25">
      <c r="A7" t="s">
        <v>98</v>
      </c>
    </row>
    <row r="8" spans="1:1" x14ac:dyDescent="0.25">
      <c r="A8" t="s">
        <v>99</v>
      </c>
    </row>
    <row r="9" spans="1:1" x14ac:dyDescent="0.25">
      <c r="A9" t="s">
        <v>100</v>
      </c>
    </row>
    <row r="11" spans="1:1" x14ac:dyDescent="0.25">
      <c r="A11" t="s">
        <v>101</v>
      </c>
    </row>
    <row r="12" spans="1:1" x14ac:dyDescent="0.25">
      <c r="A12" t="s">
        <v>102</v>
      </c>
    </row>
    <row r="13" spans="1:1" x14ac:dyDescent="0.25">
      <c r="A13" t="s">
        <v>103</v>
      </c>
    </row>
    <row r="15" spans="1:1" x14ac:dyDescent="0.25">
      <c r="A15" t="s">
        <v>104</v>
      </c>
    </row>
    <row r="16" spans="1:1" x14ac:dyDescent="0.25">
      <c r="A16" t="s">
        <v>105</v>
      </c>
    </row>
    <row r="17" spans="1:1" x14ac:dyDescent="0.25">
      <c r="A17" t="s">
        <v>106</v>
      </c>
    </row>
    <row r="19" spans="1:1" x14ac:dyDescent="0.25">
      <c r="A19" t="s">
        <v>143</v>
      </c>
    </row>
    <row r="21" spans="1:1" x14ac:dyDescent="0.25">
      <c r="A21" t="s">
        <v>108</v>
      </c>
    </row>
    <row r="22" spans="1:1" x14ac:dyDescent="0.25">
      <c r="A22" t="s">
        <v>109</v>
      </c>
    </row>
    <row r="23" spans="1:1" x14ac:dyDescent="0.25">
      <c r="A23" t="s">
        <v>110</v>
      </c>
    </row>
    <row r="24" spans="1:1" x14ac:dyDescent="0.25">
      <c r="A24" t="s">
        <v>111</v>
      </c>
    </row>
    <row r="26" spans="1:1" x14ac:dyDescent="0.25">
      <c r="A26" t="s">
        <v>144</v>
      </c>
    </row>
    <row r="27" spans="1:1" x14ac:dyDescent="0.25">
      <c r="A27" t="s">
        <v>145</v>
      </c>
    </row>
    <row r="29" spans="1:1" x14ac:dyDescent="0.25">
      <c r="A29" t="s">
        <v>112</v>
      </c>
    </row>
    <row r="30" spans="1:1" x14ac:dyDescent="0.25">
      <c r="A30" t="s">
        <v>113</v>
      </c>
    </row>
    <row r="31" spans="1:1" x14ac:dyDescent="0.25">
      <c r="A31" t="s">
        <v>114</v>
      </c>
    </row>
    <row r="33" spans="1:1" x14ac:dyDescent="0.25">
      <c r="A33" t="s">
        <v>115</v>
      </c>
    </row>
    <row r="35" spans="1:1" x14ac:dyDescent="0.25">
      <c r="A35" t="s">
        <v>116</v>
      </c>
    </row>
    <row r="36" spans="1:1" x14ac:dyDescent="0.25">
      <c r="A36" t="s">
        <v>117</v>
      </c>
    </row>
    <row r="37" spans="1:1" x14ac:dyDescent="0.25">
      <c r="A37" t="s">
        <v>118</v>
      </c>
    </row>
    <row r="39" spans="1:1" x14ac:dyDescent="0.25">
      <c r="A39" t="s">
        <v>119</v>
      </c>
    </row>
    <row r="40" spans="1:1" x14ac:dyDescent="0.25">
      <c r="A40" t="s">
        <v>120</v>
      </c>
    </row>
    <row r="41" spans="1:1" x14ac:dyDescent="0.25">
      <c r="A41" t="s">
        <v>121</v>
      </c>
    </row>
    <row r="42" spans="1:1" x14ac:dyDescent="0.25">
      <c r="A42" t="s">
        <v>122</v>
      </c>
    </row>
    <row r="43" spans="1:1" x14ac:dyDescent="0.25">
      <c r="A43" t="s">
        <v>123</v>
      </c>
    </row>
    <row r="44" spans="1:1" x14ac:dyDescent="0.25">
      <c r="A44" t="s">
        <v>124</v>
      </c>
    </row>
    <row r="46" spans="1:1" x14ac:dyDescent="0.25">
      <c r="A46" t="s">
        <v>125</v>
      </c>
    </row>
    <row r="48" spans="1:1" x14ac:dyDescent="0.25">
      <c r="A48" t="s">
        <v>126</v>
      </c>
    </row>
    <row r="49" spans="1:1" x14ac:dyDescent="0.25">
      <c r="A49" t="s">
        <v>127</v>
      </c>
    </row>
    <row r="50" spans="1:1" x14ac:dyDescent="0.25">
      <c r="A50" t="s">
        <v>128</v>
      </c>
    </row>
    <row r="52" spans="1:1" x14ac:dyDescent="0.25">
      <c r="A52" t="s">
        <v>119</v>
      </c>
    </row>
    <row r="53" spans="1:1" x14ac:dyDescent="0.25">
      <c r="A53" t="s">
        <v>129</v>
      </c>
    </row>
    <row r="54" spans="1:1" x14ac:dyDescent="0.25">
      <c r="A54" t="s">
        <v>130</v>
      </c>
    </row>
    <row r="55" spans="1:1" x14ac:dyDescent="0.25">
      <c r="A55" t="s">
        <v>146</v>
      </c>
    </row>
    <row r="57" spans="1:1" x14ac:dyDescent="0.25">
      <c r="A57" t="s">
        <v>132</v>
      </c>
    </row>
    <row r="58" spans="1:1" x14ac:dyDescent="0.25">
      <c r="A58" t="s">
        <v>133</v>
      </c>
    </row>
    <row r="59" spans="1:1" x14ac:dyDescent="0.25">
      <c r="A59" t="s">
        <v>134</v>
      </c>
    </row>
    <row r="60" spans="1:1" x14ac:dyDescent="0.25">
      <c r="A60" t="s">
        <v>135</v>
      </c>
    </row>
    <row r="61" spans="1:1" x14ac:dyDescent="0.25">
      <c r="A61" t="s">
        <v>136</v>
      </c>
    </row>
    <row r="62" spans="1:1" x14ac:dyDescent="0.25">
      <c r="A62" t="s">
        <v>83</v>
      </c>
    </row>
    <row r="64" spans="1:1" x14ac:dyDescent="0.25">
      <c r="A64" t="s">
        <v>137</v>
      </c>
    </row>
    <row r="65" spans="1:1" x14ac:dyDescent="0.25">
      <c r="A65" t="s">
        <v>138</v>
      </c>
    </row>
    <row r="67" spans="1:1" x14ac:dyDescent="0.25">
      <c r="A67" t="s">
        <v>139</v>
      </c>
    </row>
    <row r="68" spans="1:1" x14ac:dyDescent="0.25">
      <c r="A68" t="s">
        <v>147</v>
      </c>
    </row>
    <row r="71" spans="1:1" x14ac:dyDescent="0.25">
      <c r="A71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FN_Distance</vt:lpstr>
      <vt:lpstr>FN_ConvertPDS</vt:lpstr>
      <vt:lpstr>FN_ConvertPDS2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Neel</dc:creator>
  <cp:lastModifiedBy>Matt Neel</cp:lastModifiedBy>
  <dcterms:created xsi:type="dcterms:W3CDTF">2023-10-30T19:42:30Z</dcterms:created>
  <dcterms:modified xsi:type="dcterms:W3CDTF">2024-04-01T20:58:28Z</dcterms:modified>
</cp:coreProperties>
</file>